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e Mapping (MCDA)" sheetId="1" state="visible" r:id="rId3"/>
    <sheet name="Source Classification" sheetId="2" state="visible" r:id="rId4"/>
    <sheet name="MCDA Criteria Reference" sheetId="3" state="visible" r:id="rId5"/>
    <sheet name="Benchmark (Micro-Evaluation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<sst xmlns="http://schemas.openxmlformats.org/spreadsheetml/2006/main" count="480" uniqueCount="337">
  <si>
    <t xml:space="preserve">Supplementary Material S1 — MCDA Case Mapping: Open Source vs Proprietary Software</t>
  </si>
  <si>
    <t xml:space="preserve">Batista, A. S. — Open Source vs. Proprietary Software: A Comparative Analysis | Criteria: (1) Technical Performance  (2) Security &amp; Resilience  (3) Economic Viability / TCO  (4) Governance &amp; Transparency  (5) Sovereignty &amp; Strategic Autonomy</t>
  </si>
  <si>
    <t xml:space="preserve">Case / Domain</t>
  </si>
  <si>
    <t xml:space="preserve">Section</t>
  </si>
  <si>
    <t xml:space="preserve">Software Model</t>
  </si>
  <si>
    <t xml:space="preserve">(1) Technical Performance</t>
  </si>
  <si>
    <t xml:space="preserve">(2) Security &amp; Resilience</t>
  </si>
  <si>
    <t xml:space="preserve">(3) Economic Viability / TCO</t>
  </si>
  <si>
    <t xml:space="preserve">(4) Governance &amp; Transparency</t>
  </si>
  <si>
    <t xml:space="preserve">(5) Sovereignty &amp; Autonomy</t>
  </si>
  <si>
    <t xml:space="preserve">Evidence Tier</t>
  </si>
  <si>
    <t xml:space="preserve">Boundary Conditions</t>
  </si>
  <si>
    <t xml:space="preserve">Linux vs Windows Server</t>
  </si>
  <si>
    <t xml:space="preserve">5.1.1 / 9.1</t>
  </si>
  <si>
    <t xml:space="preserve">Open source (Linux)</t>
  </si>
  <si>
    <t xml:space="preserve">Advantage: 100% Top500; &gt;90% cloud workloads (TOP500, 2024; XtendedView, 2025)</t>
  </si>
  <si>
    <t xml:space="preserve">Context-dependent: high auditability; Heartbleed shows review capacity critical (Walden, 2020)</t>
  </si>
  <si>
    <t xml:space="preserve">Advantage: zero licensing cost at scale; Red Hat model demonstrates commercial viability (Hoffmann et al., 2024)</t>
  </si>
  <si>
    <t xml:space="preserve">Advantage: community governance; BDFL model (Torvalds) with structured kernel contribution (Fitzgerald, 2006)</t>
  </si>
  <si>
    <t xml:space="preserve">Advantage: no vendor lock-in; full fork rights; national deployment feasibility (Biström et al., 2024)</t>
  </si>
  <si>
    <t xml:space="preserve">Primary empirical + secondary analytical</t>
  </si>
  <si>
    <t xml:space="preserve">Advantage holds at infrastructure scale; does not transfer to consumer desktop (4.3% share). Temporal boundary: Linux dominance since 2017; pattern may shift with serverless architectures (Pfandzelter &amp; Bermbach, 2024).</t>
  </si>
  <si>
    <t xml:space="preserve">Android (AOSP + GMS)</t>
  </si>
  <si>
    <t xml:space="preserve">5.1.1 / 9.2</t>
  </si>
  <si>
    <t xml:space="preserve">Hybrid (open core)</t>
  </si>
  <si>
    <t xml:space="preserve">Advantage: dominant mobile OS globally; &gt;70% mobile market share</t>
  </si>
  <si>
    <t xml:space="preserve">Context-dependent: AOSP auditable; GMS layer opaque; device driver proprietary components (Mayrhofer et al., 2021)</t>
  </si>
  <si>
    <t xml:space="preserve">Context-dependent: zero licensing for OEMs; GMS revenue capture by Google (Rikap, 2024)</t>
  </si>
  <si>
    <t xml:space="preserve">Disadvantage: community governance nominal; Google controls GMS unilaterally since Mar 2025</t>
  </si>
  <si>
    <t xml:space="preserve">Disadvantage: GMS dependency creates geopolitical leverage (Huawei case, 2019) (Bechara &amp; Lechner, 2024)</t>
  </si>
  <si>
    <t xml:space="preserve">Open source layer (AOSP) does not confer sovereignty if commercial viability depends on proprietary GMS. Applies to jurisdictions subject to U.S. export controls.</t>
  </si>
  <si>
    <t xml:space="preserve">HashiCorp / Terraform → OpenTofu</t>
  </si>
  <si>
    <t xml:space="preserve">9.3</t>
  </si>
  <si>
    <t xml:space="preserve">Proprietary (post-BSL relicensing)</t>
  </si>
  <si>
    <t xml:space="preserve">Neutral: functional parity between Terraform and OpenTofu at time of fork</t>
  </si>
  <si>
    <t xml:space="preserve">Neutral: no documented security differential between BSL and MPL versions</t>
  </si>
  <si>
    <t xml:space="preserve">Disadvantage (for users): BSL introduced legal uncertainty for competitive use cases (OpenTofu, 2023)</t>
  </si>
  <si>
    <t xml:space="preserve">Disadvantage: community trust destroyed; fork exercised within 2 weeks by 140+ companies (CNCF, 2025)</t>
  </si>
  <si>
    <t xml:space="preserve">Disadvantage: BSL restricts use by competing infrastructure vendors (Bechara &amp; Lechner, 2024)</t>
  </si>
  <si>
    <t xml:space="preserve">Primary empirical (documented fork, CNCF policy)</t>
  </si>
  <si>
    <t xml:space="preserve">Relicensing pattern observed across VC-backed OSS companies (HashiCorp, Elastic, MongoDB, Redis). Not generalizable to foundation-governed projects (Cooiman, 2024).</t>
  </si>
  <si>
    <t xml:space="preserve">Redis / Elasticsearch vs AWS</t>
  </si>
  <si>
    <t xml:space="preserve">9.4</t>
  </si>
  <si>
    <t xml:space="preserve">Proprietary (SSPL/BSL) vs Open source fork</t>
  </si>
  <si>
    <t xml:space="preserve">Neutral: OpenSearch and Valkey achieve functional parity with original projects</t>
  </si>
  <si>
    <t xml:space="preserve">Neutral: no documented security differential</t>
  </si>
  <si>
    <t xml:space="preserve">Context-dependent: original vendors sought revenue protection; forks maintained open access (Bechara &amp; Lechner, 2024)</t>
  </si>
  <si>
    <t xml:space="preserve">Disadvantage: ecosystem fragmentation; community trust costs exceed revenue gains in documented cases</t>
  </si>
  <si>
    <t xml:space="preserve">Context-dependent: SSPL restricts cloud provider use; forks restore open access</t>
  </si>
  <si>
    <t xml:space="preserve">Primary empirical (court records, foundation announcements)</t>
  </si>
  <si>
    <t xml:space="preserve">Redis reversed course (AGPLv3, May 2025). Pattern specific to cloud-era managed services conflict. Does not apply to on-premise deployments.</t>
  </si>
  <si>
    <t xml:space="preserve">Meta LLaMA series</t>
  </si>
  <si>
    <t xml:space="preserve">5.6.2 / 9.5</t>
  </si>
  <si>
    <t xml:space="preserve">Open-weight (not fully open source per OSAID)</t>
  </si>
  <si>
    <t xml:space="preserve">Advantage: Llama 3.1 405B reaches frontier-level performance; closes gap with GPT-4 (Meta AI, 2024; European Commission, 2025)</t>
  </si>
  <si>
    <t xml:space="preserve">Context-dependent: weights inspectable; training data undisclosed; misuse risks debated (Henderson et al., 2023)</t>
  </si>
  <si>
    <t xml:space="preserve">Advantage: reduced API inference costs industry-wide; local deployment eliminates per-query fees</t>
  </si>
  <si>
    <t xml:space="preserve">Disadvantage: training data not disclosed; does not meet OSAID criteria (Widder et al., 2023; OSI, 2024)</t>
  </si>
  <si>
    <t xml:space="preserve">Partial advantage: local deployment enables data sovereignty; Llama license restricts &gt;700M user deployments</t>
  </si>
  <si>
    <t xml:space="preserve">Secondary analytical + primary empirical (benchmark data)</t>
  </si>
  <si>
    <t xml:space="preserve">Open-weight ≠ open source per OSAID. Advantage conditional on organizational compute capacity. Temporal boundary: model landscape shifting rapidly (Mökander et al., 2023).</t>
  </si>
  <si>
    <t xml:space="preserve">Kubernetes (CNCF)</t>
  </si>
  <si>
    <t xml:space="preserve">5.4.1 / 9.6</t>
  </si>
  <si>
    <t xml:space="preserve">Open source (CNCF-governed)</t>
  </si>
  <si>
    <t xml:space="preserve">Advantage: 80% production adoption; 20.7% YoY growth; 93% using/evaluating (CNCF, 2025)</t>
  </si>
  <si>
    <t xml:space="preserve">Advantage: multi-stakeholder review; OpenSSF integration; supply chain tooling (SLSA, SBOM)</t>
  </si>
  <si>
    <t xml:space="preserve">Advantage: zero licensing; vendor-neutral; avoids cloud provider lock-in at orchestration layer</t>
  </si>
  <si>
    <t xml:space="preserve">Advantage: CNCF neutral governance; sandbox/incubating/graduated lifecycle; 88,000+ contributors (CNCF, 2025)</t>
  </si>
  <si>
    <t xml:space="preserve">Advantage: no single-vendor control; CNCF toolchain openness policy enforced (OpenTofu precedent)</t>
  </si>
  <si>
    <t xml:space="preserve">Primary empirical (CNCF Survey 2024) + secondary analytical</t>
  </si>
  <si>
    <t xml:space="preserve">Advantage holds for container orchestration layer. Proprietary managed Kubernetes services (EKS, AKS, GKE) reintroduce lock-in at service layer. Does not generalize to AI workload orchestration.</t>
  </si>
  <si>
    <t xml:space="preserve">Heartbleed (CVE-2014-0160)</t>
  </si>
  <si>
    <t xml:space="preserve">5.7.3</t>
  </si>
  <si>
    <t xml:space="preserve">Open source (OpenSSL)</t>
  </si>
  <si>
    <t xml:space="preserve">N/A</t>
  </si>
  <si>
    <t xml:space="preserve">Disadvantage: CVSS 7.5; 24–55% HTTPS sites affected; ~2 years undetected; 73% certs not reissued at 3 weeks (Durumeric et al., 2014; Zeber et al., 2015)</t>
  </si>
  <si>
    <t xml:space="preserve">Context-dependent: code public but review capacity near zero pre-Heartbleed; CII established post-incident (OpenSSF, 2024)</t>
  </si>
  <si>
    <t xml:space="preserve">Primary empirical (CVE record; internet-wide measurement study)</t>
  </si>
  <si>
    <t xml:space="preserve">Security benefit of open source conditional on funded review capacity. Not generalizable to well-resourced OSS projects (Linux kernel, OpenSSH).</t>
  </si>
  <si>
    <t xml:space="preserve">SolarWinds / SUNBURST (2020)</t>
  </si>
  <si>
    <t xml:space="preserve">Proprietary (Orion platform)</t>
  </si>
  <si>
    <t xml:space="preserve">Disadvantage: ~9 months undetected; ~18,000 customers compromised incl. U.S. federal agencies; no independent audit possible (Ghanbari et al., 2024)</t>
  </si>
  <si>
    <t xml:space="preserve">Disadvantage: closed build process enabled undetectable compromise; no external verification mechanism</t>
  </si>
  <si>
    <t xml:space="preserve">Disadvantage: national security implications; no user audit rights (Massacci et al., 2021)</t>
  </si>
  <si>
    <t xml:space="preserve">Primary empirical (CVE record; government reports)</t>
  </si>
  <si>
    <t xml:space="preserve">Failure mode specific to build-process compromise in closed environments. Not representative of all proprietary software; well-resourced vendors maintain rigorous build security.</t>
  </si>
  <si>
    <t xml:space="preserve">Log4Shell (CVE-2021-44228)</t>
  </si>
  <si>
    <t xml:space="preserve">Open source (Apache Log4j)</t>
  </si>
  <si>
    <t xml:space="preserve">Mixed: CVSS 10.0; widespread transitive dependency; patch issued within days of disclosure (Ghanbari et al., 2024)</t>
  </si>
  <si>
    <t xml:space="preserve">Advantage: rapid community patch response; SBOM tooling enabled dependency discovery</t>
  </si>
  <si>
    <t xml:space="preserve">Primary empirical (CVE record; supply chain research)</t>
  </si>
  <si>
    <t xml:space="preserve">Illustrates transitive dependency risk in OSS ecosystems. Rapid remediation demonstrates auditability advantage. Does not apply to isolated/embedded OSS deployments without update mechanisms.</t>
  </si>
  <si>
    <t xml:space="preserve">XZ Utils backdoor (CVE-2024-3094)</t>
  </si>
  <si>
    <t xml:space="preserve">Open source (XZ Utils)</t>
  </si>
  <si>
    <t xml:space="preserve">Mixed: CVSS 10.0; 2.6-year attacker infiltration; intercepted before stable distro inclusion; 0 production systems confirmed compromised (Pirozzi et al., 2025)</t>
  </si>
  <si>
    <t xml:space="preserve">Disadvantage: sole-maintainer burnout created attack surface; social engineering exploited governance gap (OpenSSF, 2024)</t>
  </si>
  <si>
    <t xml:space="preserve">Primary empirical (CVE record; software engineering analysis)</t>
  </si>
  <si>
    <t xml:space="preserve">Attack vector specific to under-resourced single-maintainer projects. Not generalizable to foundation-governed or corporate-sponsored OSS. Demonstrates human/governance vulnerability distinct from code vulnerability.</t>
  </si>
  <si>
    <t xml:space="preserve">OpenMRS (Healthcare EHR)</t>
  </si>
  <si>
    <t xml:space="preserve">10.1</t>
  </si>
  <si>
    <t xml:space="preserve">Open source</t>
  </si>
  <si>
    <t xml:space="preserve">Advantage: deployed in 6,500+ facilities; 40+ countries; 14.6M patient records (Jawhari et al., 2016)</t>
  </si>
  <si>
    <t xml:space="preserve">Context-dependent: HL7 FHIR compliance; community patch process; no FIPS certification</t>
  </si>
  <si>
    <t xml:space="preserve">Advantage: zero licensing; viable in resource-limited settings; reduces dependency on proprietary vendors</t>
  </si>
  <si>
    <t xml:space="preserve">Advantage: non-profit governance; modular architecture; community-governed roadmap (Shaikh et al., 2022)</t>
  </si>
  <si>
    <t xml:space="preserve">Advantage: enables low-income country health data sovereignty; no foreign vendor dependency</t>
  </si>
  <si>
    <t xml:space="preserve">Secondary analytical (systematic review) + primary empirical (deployment data)</t>
  </si>
  <si>
    <t xml:space="preserve">Advantage conditional on availability of local technical capacity for deployment/maintenance. ONC certification gap limits adoption in U.S. incentive structures (Shaikh et al., 2022).</t>
  </si>
  <si>
    <t xml:space="preserve">Moodle vs Blackboard (LMS)</t>
  </si>
  <si>
    <t xml:space="preserve">10.2</t>
  </si>
  <si>
    <t xml:space="preserve">Open source (Moodle) vs Proprietary (Blackboard)</t>
  </si>
  <si>
    <t xml:space="preserve">Context-dependent: Moodle 53% of reviewed studies; Blackboard share declined 21%→12% (2012–2021) (Zanjani, 2022; Lemenager, 2022)</t>
  </si>
  <si>
    <t xml:space="preserve">Neutral: no documented security differential in reviewed literature</t>
  </si>
  <si>
    <t xml:space="preserve">Advantage (Moodle): zero licensing; lower TCO in cost-sensitive contexts (Momani, 2010)</t>
  </si>
  <si>
    <t xml:space="preserve">Advantage (Moodle): GPL governance; community-driven pedagogical features</t>
  </si>
  <si>
    <t xml:space="preserve">Advantage (Moodle): no vendor lock-in; data portability; self-hosting option</t>
  </si>
  <si>
    <t xml:space="preserve">Secondary analytical (systematic review, 155 studies)</t>
  </si>
  <si>
    <t xml:space="preserve">Moodle advantage concentrated in public/developing-country education contexts. Proprietary platforms (Canvas, Blackboard) retain advantage in large research universities requiring integrated compliance tooling.</t>
  </si>
  <si>
    <t xml:space="preserve">Open Banking / Apache Fineract</t>
  </si>
  <si>
    <t xml:space="preserve">10.4</t>
  </si>
  <si>
    <t xml:space="preserve">Open source (Fineract) vs Proprietary (core banking)</t>
  </si>
  <si>
    <t xml:space="preserve">Context-dependent: Fineract deployed in 400+ institutions; 37 countries; 20M+ customers (Apache, 2024)</t>
  </si>
  <si>
    <t xml:space="preserve">Context-dependent: PCI-DSS compliance requires additional certification effort for OSS</t>
  </si>
  <si>
    <t xml:space="preserve">Advantage: zero licensing; viable for microfinance; reduces barriers in Global South</t>
  </si>
  <si>
    <t xml:space="preserve">Advantage: Apache Foundation governance; API-first modular design</t>
  </si>
  <si>
    <t xml:space="preserve">Advantage: reduces dependency on foreign proprietary core banking vendors</t>
  </si>
  <si>
    <t xml:space="preserve">Tertiary descriptive + primary empirical (deployment data)</t>
  </si>
  <si>
    <t xml:space="preserve">OSS core banking advantage limited to microfinance/cooperative contexts. Regulatory certification gap (SOC 2, DORA) restricts adoption in Western retail banking. Domain-specific boundary.</t>
  </si>
  <si>
    <t xml:space="preserve">Supplementary Material S1 — Source Classification by Evidence Tier</t>
  </si>
  <si>
    <t xml:space="preserve">Reference</t>
  </si>
  <si>
    <t xml:space="preserve">Tier</t>
  </si>
  <si>
    <t xml:space="preserve">Type</t>
  </si>
  <si>
    <t xml:space="preserve">Methodology</t>
  </si>
  <si>
    <t xml:space="preserve">Used in Section(s)</t>
  </si>
  <si>
    <t xml:space="preserve">TOP500 (Nov 2024)</t>
  </si>
  <si>
    <t xml:space="preserve">Primary empirical</t>
  </si>
  <si>
    <t xml:space="preserve">Dataset</t>
  </si>
  <si>
    <t xml:space="preserve">Census of top 500 supercomputers by performance; published biannually</t>
  </si>
  <si>
    <t xml:space="preserve">5.1.1, 9.1</t>
  </si>
  <si>
    <t xml:space="preserve">StatCounter Global Stats (Feb 2025)</t>
  </si>
  <si>
    <t xml:space="preserve">Web analytics panel; &gt;1.5M websites tracked globally</t>
  </si>
  <si>
    <t xml:space="preserve">5.1.1</t>
  </si>
  <si>
    <t xml:space="preserve">CNCF Annual Survey 2024</t>
  </si>
  <si>
    <t xml:space="preserve">Survey</t>
  </si>
  <si>
    <t xml:space="preserve">N=3,743 respondents; cloud native practitioners globally</t>
  </si>
  <si>
    <t xml:space="preserve">5.4.1, 9.6</t>
  </si>
  <si>
    <t xml:space="preserve">XtendedView Linux Statistics (2025)</t>
  </si>
  <si>
    <t xml:space="preserve">Report</t>
  </si>
  <si>
    <t xml:space="preserve">Aggregation of publicly available server/web statistics</t>
  </si>
  <si>
    <t xml:space="preserve">Synopsys OSSRA Report (2024)</t>
  </si>
  <si>
    <t xml:space="preserve">Audit report</t>
  </si>
  <si>
    <t xml:space="preserve">Analysis of commercial software codebases; N not specified</t>
  </si>
  <si>
    <t xml:space="preserve">7.2.4</t>
  </si>
  <si>
    <t xml:space="preserve">Durumeric et al. (2014)</t>
  </si>
  <si>
    <t xml:space="preserve">Peer-reviewed</t>
  </si>
  <si>
    <t xml:space="preserve">Internet-wide measurement study; ACM IMC 2014</t>
  </si>
  <si>
    <t xml:space="preserve">Zeber et al. (2015)</t>
  </si>
  <si>
    <t xml:space="preserve">Certificate revocation analysis post-Heartbleed; Comm. ACM</t>
  </si>
  <si>
    <t xml:space="preserve">Ghanbari et al. (2024)</t>
  </si>
  <si>
    <t xml:space="preserve">Supply chain attack case studies; J. Information Technology Teaching Cases</t>
  </si>
  <si>
    <t xml:space="preserve">Pirozzi et al. (2025)</t>
  </si>
  <si>
    <t xml:space="preserve">Software engineering analysis of XZ Utils attack; arXiv</t>
  </si>
  <si>
    <t xml:space="preserve">Hoffmann, Nagle &amp; Zhou (2024)</t>
  </si>
  <si>
    <t xml:space="preserve">Working paper</t>
  </si>
  <si>
    <t xml:space="preserve">HBS study; usage data &gt;9M company websites; Linux Foundation Census II</t>
  </si>
  <si>
    <t xml:space="preserve">6.3, 12</t>
  </si>
  <si>
    <t xml:space="preserve">Mayrhofer et al. (2021)</t>
  </si>
  <si>
    <t xml:space="preserve">Android security model; ACM TOPS</t>
  </si>
  <si>
    <t xml:space="preserve">5.1.1, 9.2</t>
  </si>
  <si>
    <t xml:space="preserve">CNCF (2025)</t>
  </si>
  <si>
    <t xml:space="preserve">Cloud Native 2024 report; Linux Foundation Research</t>
  </si>
  <si>
    <t xml:space="preserve">5.4.1, 9.3, 9.6</t>
  </si>
  <si>
    <t xml:space="preserve">Jawhari et al. (2016)</t>
  </si>
  <si>
    <t xml:space="preserve">Secondary analytical</t>
  </si>
  <si>
    <t xml:space="preserve">Systematic review</t>
  </si>
  <si>
    <t xml:space="preserve">EMR systems in low-resource settings; BMC Health Services Research</t>
  </si>
  <si>
    <t xml:space="preserve">Shaikh et al. (2022)</t>
  </si>
  <si>
    <t xml:space="preserve">Open source EHR systems; Health Informatics Journal</t>
  </si>
  <si>
    <t xml:space="preserve">Zanjani (2022)</t>
  </si>
  <si>
    <t xml:space="preserve">Moodle usage trends; 155 papers, 55 countries; IJSE</t>
  </si>
  <si>
    <t xml:space="preserve">West &amp; Gallagher (2006)</t>
  </si>
  <si>
    <t xml:space="preserve">Open innovation paradox; R&amp;D Management</t>
  </si>
  <si>
    <t xml:space="preserve">3, 6, 7, 9</t>
  </si>
  <si>
    <t xml:space="preserve">Fitzgerald (2006)</t>
  </si>
  <si>
    <t xml:space="preserve">OSS transformation; MIS Quarterly</t>
  </si>
  <si>
    <t xml:space="preserve">2, 4, 5, 6, 7</t>
  </si>
  <si>
    <t xml:space="preserve">Widder et al. (2023)</t>
  </si>
  <si>
    <t xml:space="preserve">Policy report</t>
  </si>
  <si>
    <t xml:space="preserve">Open AI political economy; AI Now Institute</t>
  </si>
  <si>
    <t xml:space="preserve">4.5, 5.6, 9.5, 11.3</t>
  </si>
  <si>
    <t xml:space="preserve">European Commission (2025)</t>
  </si>
  <si>
    <t xml:space="preserve">Institutional report</t>
  </si>
  <si>
    <t xml:space="preserve">European open source AI landscape; DG CNECT</t>
  </si>
  <si>
    <t xml:space="preserve">4.5, 5.6, 9.5, 10.5, 11</t>
  </si>
  <si>
    <t xml:space="preserve">Curto-Millet et al. (2022)</t>
  </si>
  <si>
    <t xml:space="preserve">OSS commons sustainability; EJIS</t>
  </si>
  <si>
    <t xml:space="preserve">3.4, 6.5, 7.1</t>
  </si>
  <si>
    <t xml:space="preserve">Mökander et al. (2023)</t>
  </si>
  <si>
    <t xml:space="preserve">LLM auditing framework; AI and Ethics</t>
  </si>
  <si>
    <t xml:space="preserve">4.5, 11.3</t>
  </si>
  <si>
    <t xml:space="preserve">Solaiman (2023)</t>
  </si>
  <si>
    <t xml:space="preserve">Conference paper</t>
  </si>
  <si>
    <t xml:space="preserve">AI release spectrum; FAccT 2023</t>
  </si>
  <si>
    <t xml:space="preserve">11.3</t>
  </si>
  <si>
    <t xml:space="preserve">Kapoor &amp; Narayanan (2023)</t>
  </si>
  <si>
    <t xml:space="preserve">Preprint</t>
  </si>
  <si>
    <t xml:space="preserve">Open LLM reproducibility; arXiv</t>
  </si>
  <si>
    <t xml:space="preserve">Liesenfeld &amp; Alikhani (2024)</t>
  </si>
  <si>
    <t xml:space="preserve">Open-washing and EU AI Act; TheWebConf 2024</t>
  </si>
  <si>
    <t xml:space="preserve">Henderson et al. (2023)</t>
  </si>
  <si>
    <t xml:space="preserve">Foundation models and fair use; arXiv</t>
  </si>
  <si>
    <t xml:space="preserve">5.6, 11.3</t>
  </si>
  <si>
    <t xml:space="preserve">Eghbal (2020)</t>
  </si>
  <si>
    <t xml:space="preserve">Book</t>
  </si>
  <si>
    <t xml:space="preserve">OSS maintainer economics; Stripe Press</t>
  </si>
  <si>
    <t xml:space="preserve">7.1</t>
  </si>
  <si>
    <t xml:space="preserve">Geiger et al. (2021)</t>
  </si>
  <si>
    <t xml:space="preserve">OSS maintenance labor; ACM CSCW</t>
  </si>
  <si>
    <t xml:space="preserve">Trinkenreich et al. (2023)</t>
  </si>
  <si>
    <t xml:space="preserve">OSS burnout predictors; IEEE TSE</t>
  </si>
  <si>
    <t xml:space="preserve">Chesbrough (2003)</t>
  </si>
  <si>
    <t xml:space="preserve">Open innovation theory; Harvard Business School Press</t>
  </si>
  <si>
    <t xml:space="preserve">3.4</t>
  </si>
  <si>
    <t xml:space="preserve">Gawer &amp; Cusumano (2002)</t>
  </si>
  <si>
    <t xml:space="preserve">Platform leadership; Harvard Business School Press</t>
  </si>
  <si>
    <t xml:space="preserve">Orlikowski (1992)</t>
  </si>
  <si>
    <t xml:space="preserve">Duality of technology; Organization Science</t>
  </si>
  <si>
    <t xml:space="preserve">Trist &amp; Bamforth (1951)</t>
  </si>
  <si>
    <t xml:space="preserve">Socio-technical systems; Human Relations</t>
  </si>
  <si>
    <t xml:space="preserve">Belton &amp; Stewart (2002)</t>
  </si>
  <si>
    <t xml:space="preserve">MCDA integrated approach; Kluwer</t>
  </si>
  <si>
    <t xml:space="preserve">2</t>
  </si>
  <si>
    <t xml:space="preserve">OpenTofu (2023)</t>
  </si>
  <si>
    <t xml:space="preserve">Tertiary descriptive</t>
  </si>
  <si>
    <t xml:space="preserve">Project document</t>
  </si>
  <si>
    <t xml:space="preserve">OpenTofu manifesto; Linux Foundation</t>
  </si>
  <si>
    <t xml:space="preserve">Apache Software Foundation (2024)</t>
  </si>
  <si>
    <t xml:space="preserve">Project report</t>
  </si>
  <si>
    <t xml:space="preserve">Apache Fineract deployment statistics</t>
  </si>
  <si>
    <t xml:space="preserve">OSI (2024)</t>
  </si>
  <si>
    <t xml:space="preserve">Policy document</t>
  </si>
  <si>
    <t xml:space="preserve">Open Source AI Definition v1.0</t>
  </si>
  <si>
    <t xml:space="preserve">5.6.4, 11.3</t>
  </si>
  <si>
    <t xml:space="preserve">OpenSSF (2024)</t>
  </si>
  <si>
    <t xml:space="preserve">XZ backdoor CVE-2024-3094; Alpha-Omega project</t>
  </si>
  <si>
    <t xml:space="preserve">5.7.3, 7.1</t>
  </si>
  <si>
    <t xml:space="preserve">MCDA Evaluation Criteria — Operational Definitions</t>
  </si>
  <si>
    <t xml:space="preserve">Criterion</t>
  </si>
  <si>
    <t xml:space="preserve">Operational Definition</t>
  </si>
  <si>
    <t xml:space="preserve">Indicators</t>
  </si>
  <si>
    <t xml:space="preserve">Scale</t>
  </si>
  <si>
    <t xml:space="preserve">Degree to which a software system satisfies functional and non-functional requirements of its intended deployment context.</t>
  </si>
  <si>
    <t xml:space="preserve">a) Functional completeness (feature parity with competitors)
b) Adoption breadth (% of defined population in production)
c) Scalability (documented extreme-scale deployment)
d) Maintenance velocity (patch frequency; mean time to patch)</t>
  </si>
  <si>
    <t xml:space="preserve">Assessed qualitatively as: Advantage OSS / Advantage Proprietary / Context-dependent / Neutral. Quantitative data cited where available (see Sheet 1).</t>
  </si>
  <si>
    <t xml:space="preserve">Technical and organizational properties reducing likelihood and impact of unauthorized access, supply chain compromise, or malicious code execution. Excludes privacy and AI weight confidentiality (addressed separately).</t>
  </si>
  <si>
    <t xml:space="preserve">a) Vulnerability exposure: CVE count, CVSS score, mean time to patch
b) Supply chain integrity: build process controls, SBOM availability
c) Auditability: capacity of independent parties to inspect and verify</t>
  </si>
  <si>
    <t xml:space="preserve">Three sub-dimensions assessed independently. Direction may differ across sub-dimensions (e.g., high auditability + high historical exposure = open source; low auditability + low disclosed CVEs = proprietary).</t>
  </si>
  <si>
    <t xml:space="preserve">All costs associated with acquiring, deploying, operating, maintaining, and replacing a software system over its full lifecycle, including hidden costs of internal expertise, compliance, and switching.</t>
  </si>
  <si>
    <t xml:space="preserve">a) Acquisition cost (licensing fees)
b) Operational cost (support, staffing, integration)
c) Switching cost (migration complexity, vendor lock-in index)
d) Value generated (demand-side value relative to supply-side cost)</t>
  </si>
  <si>
    <t xml:space="preserve">Assessed relative to organizational scale. Zero acquisition cost ≠ low TCO. Hoffmann et al. (2024) demand-side value ($8.8T) cited as macro-level indicator.</t>
  </si>
  <si>
    <t xml:space="preserve">Decision-making structure of the project and degree to which source code, build configuration, training data (AI), and governance processes are independently accessible and verifiable.</t>
  </si>
  <si>
    <t xml:space="preserve">a) Governance model: BDFL / committee / foundation / corporate-controlled
b) Contributor diversity: organizational distribution of active contributors
c) License stability: history of license changes
d) Transparency scale: fully opaque → fully transparent (4-point)</t>
  </si>
  <si>
    <t xml:space="preserve">Transparency scale: (0) proprietary API only; (1) source-available with restrictions; (2) OSI-approved license, limited docs; (3) full OSS + governance docs + SBOM; (4) full OSS + training data disclosure (AI systems only).</t>
  </si>
  <si>
    <t xml:space="preserve">(5) Sovereignty &amp; Strategic Autonomy</t>
  </si>
  <si>
    <t xml:space="preserve">Degree to which adoption preserves or reduces the capacity of an actor (organization, government, state) to make independent decisions about digital infrastructure without requiring foreign entity cooperation.</t>
  </si>
  <si>
    <t xml:space="preserve">a) Legal rights over codebase (license-conferred)
b) Portability (feasibility of migration without prohibitive cost)
c) Supply chain independence (geographic/organizational distribution of dependencies)
d) Regulatory compatibility (documented compliance with data protection, AI regulation, procurement law)</t>
  </si>
  <si>
    <t xml:space="preserve">Assessed at three levels: organizational / sectoral / national-policy. Salience varies substantially by level — high for national policy (digital sovereignty), lower for individual organizational procurement.</t>
  </si>
  <si>
    <t xml:space="preserve">Supplementary Material S1 — Micro-Benchmark: Open vs Proprietary Model Evaluation</t>
  </si>
  <si>
    <t xml:space="preserve">This supplementary material provides the complete set of prompts used in the empirical micro-benchmark, including expected answers, model outputs, response latency, and consistency evaluation. The dataset is organized to ensure transparency and reproducibility of the experimental procedure described in the main article.</t>
  </si>
  <si>
    <t xml:space="preserve">Notes — Correct: 1 = correct answer, 0 = incorrect. Latency: response time in seconds (single-run measurement; not averaged across runs). Consistent: 1 = same answer across 3 repeated runs, 0 = variable output. Open Model = open-weight LLM (local deployment). Proprietary Model = API-accessed closed model.</t>
  </si>
  <si>
    <t xml:space="preserve">ID</t>
  </si>
  <si>
    <t xml:space="preserve">Prompt</t>
  </si>
  <si>
    <t xml:space="preserve">Category</t>
  </si>
  <si>
    <t xml:space="preserve">Expected Answer</t>
  </si>
  <si>
    <t xml:space="preserve">Open Model Output</t>
  </si>
  <si>
    <t xml:space="preserve">Proprietary Output</t>
  </si>
  <si>
    <t xml:space="preserve">Correct
(Open)</t>
  </si>
  <si>
    <t xml:space="preserve">Correct
(Prop)</t>
  </si>
  <si>
    <t xml:space="preserve">Latency Open (s)</t>
  </si>
  <si>
    <t xml:space="preserve">Latency Prop (s)</t>
  </si>
  <si>
    <t xml:space="preserve">Consistent
(Open)</t>
  </si>
  <si>
    <t xml:space="preserve">Consistent
(Prop)</t>
  </si>
  <si>
    <t xml:space="preserve">17 × 8</t>
  </si>
  <si>
    <t xml:space="preserve">Math</t>
  </si>
  <si>
    <t xml:space="preserve">136</t>
  </si>
  <si>
    <t xml:space="preserve">60 km/h × 2h</t>
  </si>
  <si>
    <t xml:space="preserve">120 km</t>
  </si>
  <si>
    <t xml:space="preserve">2, 4, 8, 16, ...</t>
  </si>
  <si>
    <t xml:space="preserve">32</t>
  </si>
  <si>
    <t xml:space="preserve">x + 5 = 12</t>
  </si>
  <si>
    <t xml:space="preserve">7</t>
  </si>
  <si>
    <t xml:space="preserve">15% de 200</t>
  </si>
  <si>
    <t xml:space="preserve">30</t>
  </si>
  <si>
    <t xml:space="preserve">3 pessoas → 6h / 6 pessoas?</t>
  </si>
  <si>
    <t xml:space="preserve">3h</t>
  </si>
  <si>
    <t xml:space="preserve">√144</t>
  </si>
  <si>
    <t xml:space="preserve">12</t>
  </si>
  <si>
    <t xml:space="preserve">Par entre 10 e 15</t>
  </si>
  <si>
    <t xml:space="preserve">12 ou 14</t>
  </si>
  <si>
    <t xml:space="preserve">Gatos/animais pretos</t>
  </si>
  <si>
    <t xml:space="preserve">Logic</t>
  </si>
  <si>
    <t xml:space="preserve">Não necessariamente</t>
  </si>
  <si>
    <t xml:space="preserve">Não</t>
  </si>
  <si>
    <t xml:space="preserve">Mais baixo</t>
  </si>
  <si>
    <t xml:space="preserve">Ana</t>
  </si>
  <si>
    <t xml:space="preserve">1kg ferro vs algodão</t>
  </si>
  <si>
    <t xml:space="preserve">Igual</t>
  </si>
  <si>
    <t xml:space="preserve">Terça + 10 dias</t>
  </si>
  <si>
    <t xml:space="preserve">Sexta</t>
  </si>
  <si>
    <t xml:space="preserve">Quinta</t>
  </si>
  <si>
    <t xml:space="preserve">Pai e filhos</t>
  </si>
  <si>
    <t xml:space="preserve">3</t>
  </si>
  <si>
    <t xml:space="preserve">4</t>
  </si>
  <si>
    <t xml:space="preserve">CAB</t>
  </si>
  <si>
    <t xml:space="preserve">312</t>
  </si>
  <si>
    <t xml:space="preserve">Capital do Brasil</t>
  </si>
  <si>
    <t xml:space="preserve">Knowledge</t>
  </si>
  <si>
    <t xml:space="preserve">Brasília</t>
  </si>
  <si>
    <t xml:space="preserve">Dom Casmurro</t>
  </si>
  <si>
    <t xml:space="preserve">Machado de Assis</t>
  </si>
  <si>
    <t xml:space="preserve">Machado</t>
  </si>
  <si>
    <t xml:space="preserve">Planeta vermelho</t>
  </si>
  <si>
    <t xml:space="preserve">Marte</t>
  </si>
  <si>
    <t xml:space="preserve">Egito continente</t>
  </si>
  <si>
    <t xml:space="preserve">África</t>
  </si>
  <si>
    <t xml:space="preserve">Maior oceano</t>
  </si>
  <si>
    <t xml:space="preserve">Pacífico</t>
  </si>
  <si>
    <t xml:space="preserve">Mona Lisa</t>
  </si>
  <si>
    <t xml:space="preserve">Leonardo da Vinci</t>
  </si>
  <si>
    <t xml:space="preserve">Da Vinci</t>
  </si>
  <si>
    <t xml:space="preserve">SUMMARY</t>
  </si>
  <si>
    <t xml:space="preserve">Correct (Open)</t>
  </si>
  <si>
    <t xml:space="preserve">Correct (Prop)</t>
  </si>
  <si>
    <t xml:space="preserve">Avg Latency Open</t>
  </si>
  <si>
    <t xml:space="preserve">Avg Latency Prop</t>
  </si>
  <si>
    <t xml:space="preserve">Consistent (Open)</t>
  </si>
  <si>
    <t xml:space="preserve">Consistent (Prop)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</si>
</sst>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BF3FB"/>
      </patternFill>
    </fill>
    <fill>
      <patternFill patternType="solid">
        <fgColor rgb="FFBDD7EE"/>
        <bgColor rgb="FFCC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2F2F2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22"/>
    <col collapsed="false" customWidth="true" hidden="false" outlineLevel="0" max="8" min="4" style="1" width="38"/>
    <col collapsed="false" customWidth="true" hidden="false" outlineLevel="0" max="9" min="9" style="1" width="22"/>
    <col collapsed="false" customWidth="true" hidden="false" outlineLevel="0" max="10" min="10" style="1" width="48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6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</row>
    <row r="4" customFormat="false" ht="79.5" hidden="false" customHeight="true" outlineLevel="0" collapsed="false">
      <c r="A4" s="5" t="s">
        <v>12</v>
      </c>
      <c r="B4" s="5" t="s">
        <v>13</v>
      </c>
      <c r="C4" s="5" t="s">
        <v>14</v>
      </c>
      <c r="D4" s="5" t="s">
        <v>15</v>
      </c>
      <c r="E4" s="5" t="s">
        <v>16</v>
      </c>
      <c r="F4" s="5" t="s">
        <v>17</v>
      </c>
      <c r="G4" s="5" t="s">
        <v>18</v>
      </c>
      <c r="H4" s="5" t="s">
        <v>19</v>
      </c>
      <c r="I4" s="5" t="s">
        <v>20</v>
      </c>
      <c r="J4" s="5" t="s">
        <v>21</v>
      </c>
    </row>
    <row r="5" customFormat="false" ht="79.5" hidden="false" customHeight="true" outlineLevel="0" collapsed="false">
      <c r="A5" s="6" t="s">
        <v>22</v>
      </c>
      <c r="B5" s="6" t="s">
        <v>23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  <c r="H5" s="6" t="s">
        <v>29</v>
      </c>
      <c r="I5" s="6" t="s">
        <v>20</v>
      </c>
      <c r="J5" s="6" t="s">
        <v>30</v>
      </c>
    </row>
    <row r="6" customFormat="false" ht="79.5" hidden="false" customHeight="true" outlineLevel="0" collapsed="false">
      <c r="A6" s="5" t="s">
        <v>31</v>
      </c>
      <c r="B6" s="5" t="s">
        <v>32</v>
      </c>
      <c r="C6" s="5" t="s">
        <v>33</v>
      </c>
      <c r="D6" s="5" t="s">
        <v>34</v>
      </c>
      <c r="E6" s="5" t="s">
        <v>35</v>
      </c>
      <c r="F6" s="5" t="s">
        <v>36</v>
      </c>
      <c r="G6" s="5" t="s">
        <v>37</v>
      </c>
      <c r="H6" s="5" t="s">
        <v>38</v>
      </c>
      <c r="I6" s="5" t="s">
        <v>39</v>
      </c>
      <c r="J6" s="5" t="s">
        <v>40</v>
      </c>
    </row>
    <row r="7" customFormat="false" ht="79.5" hidden="false" customHeight="true" outlineLevel="0" collapsed="false">
      <c r="A7" s="6" t="s">
        <v>41</v>
      </c>
      <c r="B7" s="6" t="s">
        <v>42</v>
      </c>
      <c r="C7" s="6" t="s">
        <v>43</v>
      </c>
      <c r="D7" s="6" t="s">
        <v>44</v>
      </c>
      <c r="E7" s="6" t="s">
        <v>45</v>
      </c>
      <c r="F7" s="6" t="s">
        <v>46</v>
      </c>
      <c r="G7" s="6" t="s">
        <v>47</v>
      </c>
      <c r="H7" s="6" t="s">
        <v>48</v>
      </c>
      <c r="I7" s="6" t="s">
        <v>49</v>
      </c>
      <c r="J7" s="6" t="s">
        <v>50</v>
      </c>
    </row>
    <row r="8" customFormat="false" ht="79.5" hidden="false" customHeight="true" outlineLevel="0" collapsed="false">
      <c r="A8" s="5" t="s">
        <v>51</v>
      </c>
      <c r="B8" s="5" t="s">
        <v>52</v>
      </c>
      <c r="C8" s="5" t="s">
        <v>53</v>
      </c>
      <c r="D8" s="5" t="s">
        <v>54</v>
      </c>
      <c r="E8" s="5" t="s">
        <v>55</v>
      </c>
      <c r="F8" s="5" t="s">
        <v>56</v>
      </c>
      <c r="G8" s="5" t="s">
        <v>57</v>
      </c>
      <c r="H8" s="5" t="s">
        <v>58</v>
      </c>
      <c r="I8" s="5" t="s">
        <v>59</v>
      </c>
      <c r="J8" s="5" t="s">
        <v>60</v>
      </c>
    </row>
    <row r="9" customFormat="false" ht="79.5" hidden="false" customHeight="true" outlineLevel="0" collapsed="false">
      <c r="A9" s="6" t="s">
        <v>61</v>
      </c>
      <c r="B9" s="6" t="s">
        <v>62</v>
      </c>
      <c r="C9" s="6" t="s">
        <v>63</v>
      </c>
      <c r="D9" s="6" t="s">
        <v>64</v>
      </c>
      <c r="E9" s="6" t="s">
        <v>65</v>
      </c>
      <c r="F9" s="6" t="s">
        <v>66</v>
      </c>
      <c r="G9" s="6" t="s">
        <v>67</v>
      </c>
      <c r="H9" s="6" t="s">
        <v>68</v>
      </c>
      <c r="I9" s="6" t="s">
        <v>69</v>
      </c>
      <c r="J9" s="6" t="s">
        <v>70</v>
      </c>
    </row>
    <row r="10" customFormat="false" ht="79.5" hidden="false" customHeight="tru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74</v>
      </c>
      <c r="G10" s="5" t="s">
        <v>76</v>
      </c>
      <c r="H10" s="5" t="s">
        <v>74</v>
      </c>
      <c r="I10" s="5" t="s">
        <v>77</v>
      </c>
      <c r="J10" s="5" t="s">
        <v>78</v>
      </c>
    </row>
    <row r="11" customFormat="false" ht="79.5" hidden="false" customHeight="true" outlineLevel="0" collapsed="false">
      <c r="A11" s="6" t="s">
        <v>79</v>
      </c>
      <c r="B11" s="6" t="s">
        <v>72</v>
      </c>
      <c r="C11" s="6" t="s">
        <v>80</v>
      </c>
      <c r="D11" s="6" t="s">
        <v>74</v>
      </c>
      <c r="E11" s="6" t="s">
        <v>81</v>
      </c>
      <c r="F11" s="6" t="s">
        <v>74</v>
      </c>
      <c r="G11" s="6" t="s">
        <v>82</v>
      </c>
      <c r="H11" s="6" t="s">
        <v>83</v>
      </c>
      <c r="I11" s="6" t="s">
        <v>84</v>
      </c>
      <c r="J11" s="6" t="s">
        <v>85</v>
      </c>
    </row>
    <row r="12" customFormat="false" ht="79.5" hidden="false" customHeight="true" outlineLevel="0" collapsed="false">
      <c r="A12" s="5" t="s">
        <v>86</v>
      </c>
      <c r="B12" s="5" t="s">
        <v>72</v>
      </c>
      <c r="C12" s="5" t="s">
        <v>87</v>
      </c>
      <c r="D12" s="5" t="s">
        <v>74</v>
      </c>
      <c r="E12" s="5" t="s">
        <v>88</v>
      </c>
      <c r="F12" s="5" t="s">
        <v>74</v>
      </c>
      <c r="G12" s="5" t="s">
        <v>89</v>
      </c>
      <c r="H12" s="5" t="s">
        <v>74</v>
      </c>
      <c r="I12" s="5" t="s">
        <v>90</v>
      </c>
      <c r="J12" s="5" t="s">
        <v>91</v>
      </c>
    </row>
    <row r="13" customFormat="false" ht="79.5" hidden="false" customHeight="true" outlineLevel="0" collapsed="false">
      <c r="A13" s="6" t="s">
        <v>92</v>
      </c>
      <c r="B13" s="6" t="s">
        <v>72</v>
      </c>
      <c r="C13" s="6" t="s">
        <v>93</v>
      </c>
      <c r="D13" s="6" t="s">
        <v>74</v>
      </c>
      <c r="E13" s="6" t="s">
        <v>94</v>
      </c>
      <c r="F13" s="6" t="s">
        <v>74</v>
      </c>
      <c r="G13" s="6" t="s">
        <v>95</v>
      </c>
      <c r="H13" s="6" t="s">
        <v>74</v>
      </c>
      <c r="I13" s="6" t="s">
        <v>96</v>
      </c>
      <c r="J13" s="6" t="s">
        <v>97</v>
      </c>
    </row>
    <row r="14" customFormat="false" ht="79.5" hidden="false" customHeight="tru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  <c r="H14" s="5" t="s">
        <v>105</v>
      </c>
      <c r="I14" s="5" t="s">
        <v>106</v>
      </c>
      <c r="J14" s="5" t="s">
        <v>107</v>
      </c>
    </row>
    <row r="15" customFormat="false" ht="79.5" hidden="false" customHeight="true" outlineLevel="0" collapsed="false">
      <c r="A15" s="6" t="s">
        <v>108</v>
      </c>
      <c r="B15" s="6" t="s">
        <v>109</v>
      </c>
      <c r="C15" s="6" t="s">
        <v>110</v>
      </c>
      <c r="D15" s="6" t="s">
        <v>111</v>
      </c>
      <c r="E15" s="6" t="s">
        <v>112</v>
      </c>
      <c r="F15" s="6" t="s">
        <v>113</v>
      </c>
      <c r="G15" s="6" t="s">
        <v>114</v>
      </c>
      <c r="H15" s="6" t="s">
        <v>115</v>
      </c>
      <c r="I15" s="6" t="s">
        <v>116</v>
      </c>
      <c r="J15" s="6" t="s">
        <v>117</v>
      </c>
    </row>
    <row r="16" customFormat="false" ht="79.5" hidden="false" customHeight="true" outlineLevel="0" collapsed="false">
      <c r="A16" s="5" t="s">
        <v>118</v>
      </c>
      <c r="B16" s="5" t="s">
        <v>119</v>
      </c>
      <c r="C16" s="5" t="s">
        <v>120</v>
      </c>
      <c r="D16" s="5" t="s">
        <v>121</v>
      </c>
      <c r="E16" s="5" t="s">
        <v>122</v>
      </c>
      <c r="F16" s="5" t="s">
        <v>123</v>
      </c>
      <c r="G16" s="5" t="s">
        <v>124</v>
      </c>
      <c r="H16" s="5" t="s">
        <v>125</v>
      </c>
      <c r="I16" s="5" t="s">
        <v>126</v>
      </c>
      <c r="J16" s="5" t="s">
        <v>127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55"/>
    <col collapsed="false" customWidth="true" hidden="false" outlineLevel="0" max="5" min="5" style="1" width="22"/>
  </cols>
  <sheetData>
    <row r="1" customFormat="false" ht="24" hidden="false" customHeight="true" outlineLevel="0" collapsed="false">
      <c r="A1" s="2" t="s">
        <v>128</v>
      </c>
      <c r="B1" s="2"/>
      <c r="C1" s="2"/>
      <c r="D1" s="2"/>
      <c r="E1" s="2"/>
    </row>
    <row r="2" customFormat="false" ht="24" hidden="false" customHeight="true" outlineLevel="0" collapsed="false">
      <c r="A2" s="4" t="s">
        <v>129</v>
      </c>
      <c r="B2" s="4" t="s">
        <v>130</v>
      </c>
      <c r="C2" s="4" t="s">
        <v>131</v>
      </c>
      <c r="D2" s="4" t="s">
        <v>132</v>
      </c>
      <c r="E2" s="4" t="s">
        <v>133</v>
      </c>
    </row>
    <row r="3" customFormat="false" ht="36" hidden="false" customHeight="true" outlineLevel="0" collapsed="false">
      <c r="A3" s="5" t="s">
        <v>134</v>
      </c>
      <c r="B3" s="7" t="s">
        <v>135</v>
      </c>
      <c r="C3" s="5" t="s">
        <v>136</v>
      </c>
      <c r="D3" s="5" t="s">
        <v>137</v>
      </c>
      <c r="E3" s="5" t="s">
        <v>138</v>
      </c>
    </row>
    <row r="4" customFormat="false" ht="36" hidden="false" customHeight="true" outlineLevel="0" collapsed="false">
      <c r="A4" s="6" t="s">
        <v>139</v>
      </c>
      <c r="B4" s="7" t="s">
        <v>135</v>
      </c>
      <c r="C4" s="6" t="s">
        <v>136</v>
      </c>
      <c r="D4" s="6" t="s">
        <v>140</v>
      </c>
      <c r="E4" s="6" t="s">
        <v>141</v>
      </c>
    </row>
    <row r="5" customFormat="false" ht="36" hidden="false" customHeight="true" outlineLevel="0" collapsed="false">
      <c r="A5" s="5" t="s">
        <v>142</v>
      </c>
      <c r="B5" s="7" t="s">
        <v>135</v>
      </c>
      <c r="C5" s="5" t="s">
        <v>143</v>
      </c>
      <c r="D5" s="5" t="s">
        <v>144</v>
      </c>
      <c r="E5" s="5" t="s">
        <v>145</v>
      </c>
    </row>
    <row r="6" customFormat="false" ht="36" hidden="false" customHeight="true" outlineLevel="0" collapsed="false">
      <c r="A6" s="6" t="s">
        <v>146</v>
      </c>
      <c r="B6" s="7" t="s">
        <v>135</v>
      </c>
      <c r="C6" s="6" t="s">
        <v>147</v>
      </c>
      <c r="D6" s="6" t="s">
        <v>148</v>
      </c>
      <c r="E6" s="6" t="s">
        <v>141</v>
      </c>
    </row>
    <row r="7" customFormat="false" ht="36" hidden="false" customHeight="true" outlineLevel="0" collapsed="false">
      <c r="A7" s="5" t="s">
        <v>149</v>
      </c>
      <c r="B7" s="7" t="s">
        <v>135</v>
      </c>
      <c r="C7" s="5" t="s">
        <v>150</v>
      </c>
      <c r="D7" s="5" t="s">
        <v>151</v>
      </c>
      <c r="E7" s="5" t="s">
        <v>152</v>
      </c>
    </row>
    <row r="8" customFormat="false" ht="36" hidden="false" customHeight="true" outlineLevel="0" collapsed="false">
      <c r="A8" s="6" t="s">
        <v>153</v>
      </c>
      <c r="B8" s="7" t="s">
        <v>135</v>
      </c>
      <c r="C8" s="6" t="s">
        <v>154</v>
      </c>
      <c r="D8" s="6" t="s">
        <v>155</v>
      </c>
      <c r="E8" s="6" t="s">
        <v>72</v>
      </c>
    </row>
    <row r="9" customFormat="false" ht="36" hidden="false" customHeight="true" outlineLevel="0" collapsed="false">
      <c r="A9" s="5" t="s">
        <v>156</v>
      </c>
      <c r="B9" s="7" t="s">
        <v>135</v>
      </c>
      <c r="C9" s="5" t="s">
        <v>154</v>
      </c>
      <c r="D9" s="5" t="s">
        <v>157</v>
      </c>
      <c r="E9" s="5" t="s">
        <v>72</v>
      </c>
    </row>
    <row r="10" customFormat="false" ht="36" hidden="false" customHeight="true" outlineLevel="0" collapsed="false">
      <c r="A10" s="6" t="s">
        <v>158</v>
      </c>
      <c r="B10" s="7" t="s">
        <v>135</v>
      </c>
      <c r="C10" s="6" t="s">
        <v>154</v>
      </c>
      <c r="D10" s="6" t="s">
        <v>159</v>
      </c>
      <c r="E10" s="6" t="s">
        <v>72</v>
      </c>
    </row>
    <row r="11" customFormat="false" ht="36" hidden="false" customHeight="true" outlineLevel="0" collapsed="false">
      <c r="A11" s="5" t="s">
        <v>160</v>
      </c>
      <c r="B11" s="7" t="s">
        <v>135</v>
      </c>
      <c r="C11" s="5" t="s">
        <v>154</v>
      </c>
      <c r="D11" s="5" t="s">
        <v>161</v>
      </c>
      <c r="E11" s="5" t="s">
        <v>72</v>
      </c>
    </row>
    <row r="12" customFormat="false" ht="36" hidden="false" customHeight="true" outlineLevel="0" collapsed="false">
      <c r="A12" s="6" t="s">
        <v>162</v>
      </c>
      <c r="B12" s="7" t="s">
        <v>135</v>
      </c>
      <c r="C12" s="6" t="s">
        <v>163</v>
      </c>
      <c r="D12" s="6" t="s">
        <v>164</v>
      </c>
      <c r="E12" s="6" t="s">
        <v>165</v>
      </c>
    </row>
    <row r="13" customFormat="false" ht="36" hidden="false" customHeight="true" outlineLevel="0" collapsed="false">
      <c r="A13" s="5" t="s">
        <v>166</v>
      </c>
      <c r="B13" s="7" t="s">
        <v>135</v>
      </c>
      <c r="C13" s="5" t="s">
        <v>154</v>
      </c>
      <c r="D13" s="5" t="s">
        <v>167</v>
      </c>
      <c r="E13" s="5" t="s">
        <v>168</v>
      </c>
    </row>
    <row r="14" customFormat="false" ht="36" hidden="false" customHeight="true" outlineLevel="0" collapsed="false">
      <c r="A14" s="6" t="s">
        <v>169</v>
      </c>
      <c r="B14" s="7" t="s">
        <v>135</v>
      </c>
      <c r="C14" s="6" t="s">
        <v>147</v>
      </c>
      <c r="D14" s="6" t="s">
        <v>170</v>
      </c>
      <c r="E14" s="6" t="s">
        <v>171</v>
      </c>
    </row>
    <row r="15" customFormat="false" ht="36" hidden="false" customHeight="true" outlineLevel="0" collapsed="false">
      <c r="A15" s="5" t="s">
        <v>172</v>
      </c>
      <c r="B15" s="8" t="s">
        <v>173</v>
      </c>
      <c r="C15" s="5" t="s">
        <v>174</v>
      </c>
      <c r="D15" s="5" t="s">
        <v>175</v>
      </c>
      <c r="E15" s="5" t="s">
        <v>99</v>
      </c>
    </row>
    <row r="16" customFormat="false" ht="36" hidden="false" customHeight="true" outlineLevel="0" collapsed="false">
      <c r="A16" s="6" t="s">
        <v>176</v>
      </c>
      <c r="B16" s="8" t="s">
        <v>173</v>
      </c>
      <c r="C16" s="6" t="s">
        <v>174</v>
      </c>
      <c r="D16" s="6" t="s">
        <v>177</v>
      </c>
      <c r="E16" s="6" t="s">
        <v>99</v>
      </c>
    </row>
    <row r="17" customFormat="false" ht="36" hidden="false" customHeight="true" outlineLevel="0" collapsed="false">
      <c r="A17" s="5" t="s">
        <v>178</v>
      </c>
      <c r="B17" s="8" t="s">
        <v>173</v>
      </c>
      <c r="C17" s="5" t="s">
        <v>174</v>
      </c>
      <c r="D17" s="5" t="s">
        <v>179</v>
      </c>
      <c r="E17" s="5" t="s">
        <v>109</v>
      </c>
    </row>
    <row r="18" customFormat="false" ht="36" hidden="false" customHeight="true" outlineLevel="0" collapsed="false">
      <c r="A18" s="6" t="s">
        <v>180</v>
      </c>
      <c r="B18" s="8" t="s">
        <v>173</v>
      </c>
      <c r="C18" s="6" t="s">
        <v>154</v>
      </c>
      <c r="D18" s="6" t="s">
        <v>181</v>
      </c>
      <c r="E18" s="6" t="s">
        <v>182</v>
      </c>
    </row>
    <row r="19" customFormat="false" ht="36" hidden="false" customHeight="true" outlineLevel="0" collapsed="false">
      <c r="A19" s="5" t="s">
        <v>183</v>
      </c>
      <c r="B19" s="8" t="s">
        <v>173</v>
      </c>
      <c r="C19" s="5" t="s">
        <v>154</v>
      </c>
      <c r="D19" s="5" t="s">
        <v>184</v>
      </c>
      <c r="E19" s="5" t="s">
        <v>185</v>
      </c>
    </row>
    <row r="20" customFormat="false" ht="36" hidden="false" customHeight="true" outlineLevel="0" collapsed="false">
      <c r="A20" s="6" t="s">
        <v>186</v>
      </c>
      <c r="B20" s="8" t="s">
        <v>173</v>
      </c>
      <c r="C20" s="6" t="s">
        <v>187</v>
      </c>
      <c r="D20" s="6" t="s">
        <v>188</v>
      </c>
      <c r="E20" s="6" t="s">
        <v>189</v>
      </c>
    </row>
    <row r="21" customFormat="false" ht="36" hidden="false" customHeight="true" outlineLevel="0" collapsed="false">
      <c r="A21" s="5" t="s">
        <v>190</v>
      </c>
      <c r="B21" s="8" t="s">
        <v>173</v>
      </c>
      <c r="C21" s="5" t="s">
        <v>191</v>
      </c>
      <c r="D21" s="5" t="s">
        <v>192</v>
      </c>
      <c r="E21" s="5" t="s">
        <v>193</v>
      </c>
    </row>
    <row r="22" customFormat="false" ht="36" hidden="false" customHeight="true" outlineLevel="0" collapsed="false">
      <c r="A22" s="6" t="s">
        <v>194</v>
      </c>
      <c r="B22" s="8" t="s">
        <v>173</v>
      </c>
      <c r="C22" s="6" t="s">
        <v>154</v>
      </c>
      <c r="D22" s="6" t="s">
        <v>195</v>
      </c>
      <c r="E22" s="6" t="s">
        <v>196</v>
      </c>
    </row>
    <row r="23" customFormat="false" ht="36" hidden="false" customHeight="true" outlineLevel="0" collapsed="false">
      <c r="A23" s="5" t="s">
        <v>197</v>
      </c>
      <c r="B23" s="8" t="s">
        <v>173</v>
      </c>
      <c r="C23" s="5" t="s">
        <v>154</v>
      </c>
      <c r="D23" s="5" t="s">
        <v>198</v>
      </c>
      <c r="E23" s="5" t="s">
        <v>199</v>
      </c>
    </row>
    <row r="24" customFormat="false" ht="36" hidden="false" customHeight="true" outlineLevel="0" collapsed="false">
      <c r="A24" s="6" t="s">
        <v>200</v>
      </c>
      <c r="B24" s="8" t="s">
        <v>173</v>
      </c>
      <c r="C24" s="6" t="s">
        <v>201</v>
      </c>
      <c r="D24" s="6" t="s">
        <v>202</v>
      </c>
      <c r="E24" s="6" t="s">
        <v>203</v>
      </c>
    </row>
    <row r="25" customFormat="false" ht="36" hidden="false" customHeight="true" outlineLevel="0" collapsed="false">
      <c r="A25" s="5" t="s">
        <v>204</v>
      </c>
      <c r="B25" s="8" t="s">
        <v>173</v>
      </c>
      <c r="C25" s="5" t="s">
        <v>205</v>
      </c>
      <c r="D25" s="5" t="s">
        <v>206</v>
      </c>
      <c r="E25" s="5" t="s">
        <v>199</v>
      </c>
    </row>
    <row r="26" customFormat="false" ht="36" hidden="false" customHeight="true" outlineLevel="0" collapsed="false">
      <c r="A26" s="6" t="s">
        <v>207</v>
      </c>
      <c r="B26" s="8" t="s">
        <v>173</v>
      </c>
      <c r="C26" s="6" t="s">
        <v>201</v>
      </c>
      <c r="D26" s="6" t="s">
        <v>208</v>
      </c>
      <c r="E26" s="6" t="s">
        <v>203</v>
      </c>
    </row>
    <row r="27" customFormat="false" ht="36" hidden="false" customHeight="true" outlineLevel="0" collapsed="false">
      <c r="A27" s="5" t="s">
        <v>209</v>
      </c>
      <c r="B27" s="8" t="s">
        <v>173</v>
      </c>
      <c r="C27" s="5" t="s">
        <v>205</v>
      </c>
      <c r="D27" s="5" t="s">
        <v>210</v>
      </c>
      <c r="E27" s="5" t="s">
        <v>211</v>
      </c>
    </row>
    <row r="28" customFormat="false" ht="36" hidden="false" customHeight="true" outlineLevel="0" collapsed="false">
      <c r="A28" s="6" t="s">
        <v>212</v>
      </c>
      <c r="B28" s="8" t="s">
        <v>173</v>
      </c>
      <c r="C28" s="6" t="s">
        <v>213</v>
      </c>
      <c r="D28" s="6" t="s">
        <v>214</v>
      </c>
      <c r="E28" s="6" t="s">
        <v>215</v>
      </c>
    </row>
    <row r="29" customFormat="false" ht="36" hidden="false" customHeight="true" outlineLevel="0" collapsed="false">
      <c r="A29" s="5" t="s">
        <v>216</v>
      </c>
      <c r="B29" s="8" t="s">
        <v>173</v>
      </c>
      <c r="C29" s="5" t="s">
        <v>154</v>
      </c>
      <c r="D29" s="5" t="s">
        <v>217</v>
      </c>
      <c r="E29" s="5" t="s">
        <v>215</v>
      </c>
    </row>
    <row r="30" customFormat="false" ht="36" hidden="false" customHeight="true" outlineLevel="0" collapsed="false">
      <c r="A30" s="6" t="s">
        <v>218</v>
      </c>
      <c r="B30" s="8" t="s">
        <v>173</v>
      </c>
      <c r="C30" s="6" t="s">
        <v>154</v>
      </c>
      <c r="D30" s="6" t="s">
        <v>219</v>
      </c>
      <c r="E30" s="6" t="s">
        <v>215</v>
      </c>
    </row>
    <row r="31" customFormat="false" ht="36" hidden="false" customHeight="true" outlineLevel="0" collapsed="false">
      <c r="A31" s="5" t="s">
        <v>220</v>
      </c>
      <c r="B31" s="8" t="s">
        <v>173</v>
      </c>
      <c r="C31" s="5" t="s">
        <v>213</v>
      </c>
      <c r="D31" s="5" t="s">
        <v>221</v>
      </c>
      <c r="E31" s="5" t="s">
        <v>222</v>
      </c>
    </row>
    <row r="32" customFormat="false" ht="36" hidden="false" customHeight="true" outlineLevel="0" collapsed="false">
      <c r="A32" s="6" t="s">
        <v>223</v>
      </c>
      <c r="B32" s="8" t="s">
        <v>173</v>
      </c>
      <c r="C32" s="6" t="s">
        <v>213</v>
      </c>
      <c r="D32" s="6" t="s">
        <v>224</v>
      </c>
      <c r="E32" s="6" t="s">
        <v>222</v>
      </c>
    </row>
    <row r="33" customFormat="false" ht="36" hidden="false" customHeight="true" outlineLevel="0" collapsed="false">
      <c r="A33" s="5" t="s">
        <v>225</v>
      </c>
      <c r="B33" s="8" t="s">
        <v>173</v>
      </c>
      <c r="C33" s="5" t="s">
        <v>154</v>
      </c>
      <c r="D33" s="5" t="s">
        <v>226</v>
      </c>
      <c r="E33" s="5" t="s">
        <v>222</v>
      </c>
    </row>
    <row r="34" customFormat="false" ht="36" hidden="false" customHeight="true" outlineLevel="0" collapsed="false">
      <c r="A34" s="6" t="s">
        <v>227</v>
      </c>
      <c r="B34" s="8" t="s">
        <v>173</v>
      </c>
      <c r="C34" s="6" t="s">
        <v>154</v>
      </c>
      <c r="D34" s="6" t="s">
        <v>228</v>
      </c>
      <c r="E34" s="6" t="s">
        <v>222</v>
      </c>
    </row>
    <row r="35" customFormat="false" ht="36" hidden="false" customHeight="true" outlineLevel="0" collapsed="false">
      <c r="A35" s="5" t="s">
        <v>229</v>
      </c>
      <c r="B35" s="8" t="s">
        <v>173</v>
      </c>
      <c r="C35" s="5" t="s">
        <v>213</v>
      </c>
      <c r="D35" s="5" t="s">
        <v>230</v>
      </c>
      <c r="E35" s="5" t="s">
        <v>231</v>
      </c>
    </row>
    <row r="36" customFormat="false" ht="36" hidden="false" customHeight="true" outlineLevel="0" collapsed="false">
      <c r="A36" s="6" t="s">
        <v>232</v>
      </c>
      <c r="B36" s="9" t="s">
        <v>233</v>
      </c>
      <c r="C36" s="6" t="s">
        <v>234</v>
      </c>
      <c r="D36" s="6" t="s">
        <v>235</v>
      </c>
      <c r="E36" s="6" t="s">
        <v>32</v>
      </c>
    </row>
    <row r="37" customFormat="false" ht="36" hidden="false" customHeight="true" outlineLevel="0" collapsed="false">
      <c r="A37" s="5" t="s">
        <v>236</v>
      </c>
      <c r="B37" s="9" t="s">
        <v>233</v>
      </c>
      <c r="C37" s="5" t="s">
        <v>237</v>
      </c>
      <c r="D37" s="5" t="s">
        <v>238</v>
      </c>
      <c r="E37" s="5" t="s">
        <v>119</v>
      </c>
    </row>
    <row r="38" customFormat="false" ht="36" hidden="false" customHeight="true" outlineLevel="0" collapsed="false">
      <c r="A38" s="6" t="s">
        <v>239</v>
      </c>
      <c r="B38" s="9" t="s">
        <v>233</v>
      </c>
      <c r="C38" s="6" t="s">
        <v>240</v>
      </c>
      <c r="D38" s="6" t="s">
        <v>241</v>
      </c>
      <c r="E38" s="6" t="s">
        <v>242</v>
      </c>
    </row>
    <row r="39" customFormat="false" ht="36" hidden="false" customHeight="true" outlineLevel="0" collapsed="false">
      <c r="A39" s="5" t="s">
        <v>243</v>
      </c>
      <c r="B39" s="9" t="s">
        <v>233</v>
      </c>
      <c r="C39" s="5" t="s">
        <v>237</v>
      </c>
      <c r="D39" s="5" t="s">
        <v>244</v>
      </c>
      <c r="E39" s="5" t="s">
        <v>245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4" min="2" style="1" width="55"/>
  </cols>
  <sheetData>
    <row r="1" customFormat="false" ht="24" hidden="false" customHeight="true" outlineLevel="0" collapsed="false">
      <c r="A1" s="2" t="s">
        <v>246</v>
      </c>
      <c r="B1" s="2"/>
      <c r="C1" s="2"/>
      <c r="D1" s="2"/>
    </row>
    <row r="2" customFormat="false" ht="24" hidden="false" customHeight="true" outlineLevel="0" collapsed="false">
      <c r="A2" s="4" t="s">
        <v>247</v>
      </c>
      <c r="B2" s="4" t="s">
        <v>248</v>
      </c>
      <c r="C2" s="4" t="s">
        <v>249</v>
      </c>
      <c r="D2" s="4" t="s">
        <v>250</v>
      </c>
    </row>
    <row r="3" customFormat="false" ht="99.75" hidden="false" customHeight="true" outlineLevel="0" collapsed="false">
      <c r="A3" s="5" t="s">
        <v>5</v>
      </c>
      <c r="B3" s="5" t="s">
        <v>251</v>
      </c>
      <c r="C3" s="5" t="s">
        <v>252</v>
      </c>
      <c r="D3" s="5" t="s">
        <v>253</v>
      </c>
    </row>
    <row r="4" customFormat="false" ht="99.75" hidden="false" customHeight="true" outlineLevel="0" collapsed="false">
      <c r="A4" s="6" t="s">
        <v>6</v>
      </c>
      <c r="B4" s="6" t="s">
        <v>254</v>
      </c>
      <c r="C4" s="6" t="s">
        <v>255</v>
      </c>
      <c r="D4" s="6" t="s">
        <v>256</v>
      </c>
    </row>
    <row r="5" customFormat="false" ht="99.75" hidden="false" customHeight="true" outlineLevel="0" collapsed="false">
      <c r="A5" s="5" t="s">
        <v>7</v>
      </c>
      <c r="B5" s="5" t="s">
        <v>257</v>
      </c>
      <c r="C5" s="5" t="s">
        <v>258</v>
      </c>
      <c r="D5" s="5" t="s">
        <v>259</v>
      </c>
    </row>
    <row r="6" customFormat="false" ht="99.75" hidden="false" customHeight="true" outlineLevel="0" collapsed="false">
      <c r="A6" s="6" t="s">
        <v>8</v>
      </c>
      <c r="B6" s="6" t="s">
        <v>260</v>
      </c>
      <c r="C6" s="6" t="s">
        <v>261</v>
      </c>
      <c r="D6" s="6" t="s">
        <v>262</v>
      </c>
    </row>
    <row r="7" customFormat="false" ht="99.75" hidden="false" customHeight="true" outlineLevel="0" collapsed="false">
      <c r="A7" s="5" t="s">
        <v>263</v>
      </c>
      <c r="B7" s="5" t="s">
        <v>264</v>
      </c>
      <c r="C7" s="5" t="s">
        <v>265</v>
      </c>
      <c r="D7" s="5" t="s">
        <v>266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2"/>
    <col collapsed="false" customWidth="true" hidden="false" outlineLevel="0" max="6" min="4" style="0" width="22"/>
    <col collapsed="false" customWidth="true" hidden="false" outlineLevel="0" max="8" min="7" style="0" width="10"/>
    <col collapsed="false" customWidth="true" hidden="false" outlineLevel="0" max="10" min="9" style="0" width="14"/>
    <col collapsed="false" customWidth="true" hidden="false" outlineLevel="0" max="12" min="11" style="0" width="12"/>
  </cols>
  <sheetData>
    <row r="1" customFormat="false" ht="27.75" hidden="false" customHeight="true" outlineLevel="0" collapsed="false">
      <c r="A1" s="2" t="s">
        <v>267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9.75" hidden="false" customHeight="true" outlineLevel="0" collapsed="false">
      <c r="A2" s="10" t="s">
        <v>268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customFormat="false" ht="31.5" hidden="false" customHeight="true" outlineLevel="0" collapsed="false">
      <c r="A3" s="11" t="s">
        <v>269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customFormat="false" ht="36" hidden="false" customHeight="true" outlineLevel="0" collapsed="false">
      <c r="A4" s="12" t="s">
        <v>270</v>
      </c>
      <c r="B4" s="12" t="s">
        <v>271</v>
      </c>
      <c r="C4" s="12" t="s">
        <v>272</v>
      </c>
      <c r="D4" s="12" t="s">
        <v>273</v>
      </c>
      <c r="E4" s="12" t="s">
        <v>274</v>
      </c>
      <c r="F4" s="12" t="s">
        <v>275</v>
      </c>
      <c r="G4" s="12" t="s">
        <v>276</v>
      </c>
      <c r="H4" s="12" t="s">
        <v>277</v>
      </c>
      <c r="I4" s="12" t="s">
        <v>278</v>
      </c>
      <c r="J4" s="12" t="s">
        <v>279</v>
      </c>
      <c r="K4" s="12" t="s">
        <v>280</v>
      </c>
      <c r="L4" s="12" t="s">
        <v>281</v>
      </c>
    </row>
    <row r="5" customFormat="false" ht="19.5" hidden="false" customHeight="true" outlineLevel="0" collapsed="false">
      <c r="A5" s="13" t="n">
        <v>1</v>
      </c>
      <c r="B5" s="13" t="s">
        <v>282</v>
      </c>
      <c r="C5" s="13" t="s">
        <v>283</v>
      </c>
      <c r="D5" s="13" t="s">
        <v>284</v>
      </c>
      <c r="E5" s="13" t="s">
        <v>284</v>
      </c>
      <c r="F5" s="13" t="s">
        <v>284</v>
      </c>
      <c r="G5" s="14" t="n">
        <v>1</v>
      </c>
      <c r="H5" s="14" t="n">
        <v>1</v>
      </c>
      <c r="I5" s="13" t="n">
        <v>3.2</v>
      </c>
      <c r="J5" s="13" t="n">
        <v>1.6</v>
      </c>
      <c r="K5" s="13" t="n">
        <v>1</v>
      </c>
      <c r="L5" s="13" t="n">
        <v>1</v>
      </c>
    </row>
    <row r="6" customFormat="false" ht="19.5" hidden="false" customHeight="true" outlineLevel="0" collapsed="false">
      <c r="A6" s="15" t="n">
        <v>2</v>
      </c>
      <c r="B6" s="15" t="s">
        <v>285</v>
      </c>
      <c r="C6" s="15" t="s">
        <v>283</v>
      </c>
      <c r="D6" s="15" t="s">
        <v>286</v>
      </c>
      <c r="E6" s="15" t="s">
        <v>286</v>
      </c>
      <c r="F6" s="15" t="s">
        <v>286</v>
      </c>
      <c r="G6" s="14" t="n">
        <v>1</v>
      </c>
      <c r="H6" s="14" t="n">
        <v>1</v>
      </c>
      <c r="I6" s="15" t="n">
        <v>3.5</v>
      </c>
      <c r="J6" s="15" t="n">
        <v>1.8</v>
      </c>
      <c r="K6" s="15" t="n">
        <v>1</v>
      </c>
      <c r="L6" s="15" t="n">
        <v>1</v>
      </c>
    </row>
    <row r="7" customFormat="false" ht="19.5" hidden="false" customHeight="true" outlineLevel="0" collapsed="false">
      <c r="A7" s="13" t="n">
        <v>3</v>
      </c>
      <c r="B7" s="13" t="s">
        <v>287</v>
      </c>
      <c r="C7" s="13" t="s">
        <v>283</v>
      </c>
      <c r="D7" s="13" t="s">
        <v>288</v>
      </c>
      <c r="E7" s="13" t="s">
        <v>288</v>
      </c>
      <c r="F7" s="13" t="s">
        <v>288</v>
      </c>
      <c r="G7" s="14" t="n">
        <v>1</v>
      </c>
      <c r="H7" s="14" t="n">
        <v>1</v>
      </c>
      <c r="I7" s="13" t="n">
        <v>3.4</v>
      </c>
      <c r="J7" s="13" t="n">
        <v>1.7</v>
      </c>
      <c r="K7" s="13" t="n">
        <v>1</v>
      </c>
      <c r="L7" s="13" t="n">
        <v>1</v>
      </c>
    </row>
    <row r="8" customFormat="false" ht="19.5" hidden="false" customHeight="true" outlineLevel="0" collapsed="false">
      <c r="A8" s="15" t="n">
        <v>4</v>
      </c>
      <c r="B8" s="15" t="s">
        <v>289</v>
      </c>
      <c r="C8" s="15" t="s">
        <v>283</v>
      </c>
      <c r="D8" s="15" t="s">
        <v>290</v>
      </c>
      <c r="E8" s="15" t="s">
        <v>290</v>
      </c>
      <c r="F8" s="15" t="s">
        <v>290</v>
      </c>
      <c r="G8" s="14" t="n">
        <v>1</v>
      </c>
      <c r="H8" s="14" t="n">
        <v>1</v>
      </c>
      <c r="I8" s="15" t="n">
        <v>3.1</v>
      </c>
      <c r="J8" s="15" t="n">
        <v>1.5</v>
      </c>
      <c r="K8" s="15" t="n">
        <v>1</v>
      </c>
      <c r="L8" s="15" t="n">
        <v>1</v>
      </c>
    </row>
    <row r="9" customFormat="false" ht="19.5" hidden="false" customHeight="true" outlineLevel="0" collapsed="false">
      <c r="A9" s="13" t="n">
        <v>5</v>
      </c>
      <c r="B9" s="13" t="s">
        <v>291</v>
      </c>
      <c r="C9" s="13" t="s">
        <v>283</v>
      </c>
      <c r="D9" s="13" t="s">
        <v>292</v>
      </c>
      <c r="E9" s="13" t="s">
        <v>292</v>
      </c>
      <c r="F9" s="13" t="s">
        <v>292</v>
      </c>
      <c r="G9" s="14" t="n">
        <v>1</v>
      </c>
      <c r="H9" s="14" t="n">
        <v>1</v>
      </c>
      <c r="I9" s="13" t="n">
        <v>3.6</v>
      </c>
      <c r="J9" s="13" t="n">
        <v>1.9</v>
      </c>
      <c r="K9" s="13" t="n">
        <v>1</v>
      </c>
      <c r="L9" s="13" t="n">
        <v>1</v>
      </c>
    </row>
    <row r="10" customFormat="false" ht="19.5" hidden="false" customHeight="true" outlineLevel="0" collapsed="false">
      <c r="A10" s="15" t="n">
        <v>6</v>
      </c>
      <c r="B10" s="15" t="s">
        <v>293</v>
      </c>
      <c r="C10" s="15" t="s">
        <v>283</v>
      </c>
      <c r="D10" s="15" t="s">
        <v>294</v>
      </c>
      <c r="E10" s="15" t="s">
        <v>294</v>
      </c>
      <c r="F10" s="15" t="s">
        <v>294</v>
      </c>
      <c r="G10" s="14" t="n">
        <v>1</v>
      </c>
      <c r="H10" s="14" t="n">
        <v>1</v>
      </c>
      <c r="I10" s="15" t="n">
        <v>3.8</v>
      </c>
      <c r="J10" s="15" t="n">
        <v>2</v>
      </c>
      <c r="K10" s="15" t="n">
        <v>1</v>
      </c>
      <c r="L10" s="15" t="n">
        <v>1</v>
      </c>
    </row>
    <row r="11" customFormat="false" ht="19.5" hidden="false" customHeight="true" outlineLevel="0" collapsed="false">
      <c r="A11" s="13" t="n">
        <v>7</v>
      </c>
      <c r="B11" s="13" t="s">
        <v>295</v>
      </c>
      <c r="C11" s="13" t="s">
        <v>283</v>
      </c>
      <c r="D11" s="13" t="s">
        <v>296</v>
      </c>
      <c r="E11" s="13" t="s">
        <v>296</v>
      </c>
      <c r="F11" s="13" t="s">
        <v>296</v>
      </c>
      <c r="G11" s="14" t="n">
        <v>1</v>
      </c>
      <c r="H11" s="14" t="n">
        <v>1</v>
      </c>
      <c r="I11" s="13" t="n">
        <v>3.2</v>
      </c>
      <c r="J11" s="13" t="n">
        <v>1.6</v>
      </c>
      <c r="K11" s="13" t="n">
        <v>1</v>
      </c>
      <c r="L11" s="13" t="n">
        <v>1</v>
      </c>
    </row>
    <row r="12" customFormat="false" ht="19.5" hidden="false" customHeight="true" outlineLevel="0" collapsed="false">
      <c r="A12" s="15" t="n">
        <v>8</v>
      </c>
      <c r="B12" s="15" t="s">
        <v>297</v>
      </c>
      <c r="C12" s="15" t="s">
        <v>283</v>
      </c>
      <c r="D12" s="15" t="s">
        <v>298</v>
      </c>
      <c r="E12" s="15" t="s">
        <v>296</v>
      </c>
      <c r="F12" s="15" t="s">
        <v>296</v>
      </c>
      <c r="G12" s="14" t="n">
        <v>1</v>
      </c>
      <c r="H12" s="14" t="n">
        <v>1</v>
      </c>
      <c r="I12" s="15" t="n">
        <v>3.3</v>
      </c>
      <c r="J12" s="15" t="n">
        <v>1.7</v>
      </c>
      <c r="K12" s="15" t="n">
        <v>1</v>
      </c>
      <c r="L12" s="15" t="n">
        <v>1</v>
      </c>
    </row>
    <row r="13" customFormat="false" ht="19.5" hidden="false" customHeight="true" outlineLevel="0" collapsed="false">
      <c r="A13" s="13" t="n">
        <v>9</v>
      </c>
      <c r="B13" s="13" t="s">
        <v>299</v>
      </c>
      <c r="C13" s="13" t="s">
        <v>300</v>
      </c>
      <c r="D13" s="13" t="s">
        <v>301</v>
      </c>
      <c r="E13" s="13" t="s">
        <v>302</v>
      </c>
      <c r="F13" s="13" t="s">
        <v>301</v>
      </c>
      <c r="G13" s="14" t="n">
        <v>1</v>
      </c>
      <c r="H13" s="14" t="n">
        <v>1</v>
      </c>
      <c r="I13" s="13" t="n">
        <v>3.9</v>
      </c>
      <c r="J13" s="13" t="n">
        <v>2.1</v>
      </c>
      <c r="K13" s="13" t="n">
        <v>0</v>
      </c>
      <c r="L13" s="13" t="n">
        <v>1</v>
      </c>
    </row>
    <row r="14" customFormat="false" ht="19.5" hidden="false" customHeight="true" outlineLevel="0" collapsed="false">
      <c r="A14" s="15" t="n">
        <v>10</v>
      </c>
      <c r="B14" s="15" t="s">
        <v>303</v>
      </c>
      <c r="C14" s="15" t="s">
        <v>300</v>
      </c>
      <c r="D14" s="15" t="s">
        <v>304</v>
      </c>
      <c r="E14" s="15" t="s">
        <v>304</v>
      </c>
      <c r="F14" s="15" t="s">
        <v>304</v>
      </c>
      <c r="G14" s="14" t="n">
        <v>1</v>
      </c>
      <c r="H14" s="14" t="n">
        <v>1</v>
      </c>
      <c r="I14" s="15" t="n">
        <v>3.5</v>
      </c>
      <c r="J14" s="15" t="n">
        <v>1.8</v>
      </c>
      <c r="K14" s="15" t="n">
        <v>1</v>
      </c>
      <c r="L14" s="15" t="n">
        <v>1</v>
      </c>
    </row>
    <row r="15" customFormat="false" ht="19.5" hidden="false" customHeight="true" outlineLevel="0" collapsed="false">
      <c r="A15" s="13" t="n">
        <v>11</v>
      </c>
      <c r="B15" s="13" t="s">
        <v>305</v>
      </c>
      <c r="C15" s="13" t="s">
        <v>300</v>
      </c>
      <c r="D15" s="13" t="s">
        <v>306</v>
      </c>
      <c r="E15" s="13" t="s">
        <v>306</v>
      </c>
      <c r="F15" s="13" t="s">
        <v>306</v>
      </c>
      <c r="G15" s="14" t="n">
        <v>1</v>
      </c>
      <c r="H15" s="14" t="n">
        <v>1</v>
      </c>
      <c r="I15" s="13" t="n">
        <v>3.2</v>
      </c>
      <c r="J15" s="13" t="n">
        <v>1.6</v>
      </c>
      <c r="K15" s="13" t="n">
        <v>1</v>
      </c>
      <c r="L15" s="13" t="n">
        <v>1</v>
      </c>
    </row>
    <row r="16" customFormat="false" ht="19.5" hidden="false" customHeight="true" outlineLevel="0" collapsed="false">
      <c r="A16" s="15" t="n">
        <v>12</v>
      </c>
      <c r="B16" s="15" t="s">
        <v>307</v>
      </c>
      <c r="C16" s="15" t="s">
        <v>300</v>
      </c>
      <c r="D16" s="15" t="s">
        <v>308</v>
      </c>
      <c r="E16" s="15" t="s">
        <v>309</v>
      </c>
      <c r="F16" s="15" t="s">
        <v>308</v>
      </c>
      <c r="G16" s="16" t="n">
        <v>0</v>
      </c>
      <c r="H16" s="14" t="n">
        <v>1</v>
      </c>
      <c r="I16" s="15" t="n">
        <v>3.7</v>
      </c>
      <c r="J16" s="15" t="n">
        <v>2</v>
      </c>
      <c r="K16" s="15" t="n">
        <v>0</v>
      </c>
      <c r="L16" s="15" t="n">
        <v>1</v>
      </c>
    </row>
    <row r="17" customFormat="false" ht="19.5" hidden="false" customHeight="true" outlineLevel="0" collapsed="false">
      <c r="A17" s="13" t="n">
        <v>13</v>
      </c>
      <c r="B17" s="13" t="s">
        <v>310</v>
      </c>
      <c r="C17" s="13" t="s">
        <v>300</v>
      </c>
      <c r="D17" s="13" t="s">
        <v>311</v>
      </c>
      <c r="E17" s="13" t="s">
        <v>312</v>
      </c>
      <c r="F17" s="13" t="s">
        <v>311</v>
      </c>
      <c r="G17" s="16" t="n">
        <v>0</v>
      </c>
      <c r="H17" s="14" t="n">
        <v>1</v>
      </c>
      <c r="I17" s="13" t="n">
        <v>3.6</v>
      </c>
      <c r="J17" s="13" t="n">
        <v>1.9</v>
      </c>
      <c r="K17" s="13" t="n">
        <v>1</v>
      </c>
      <c r="L17" s="13" t="n">
        <v>1</v>
      </c>
    </row>
    <row r="18" customFormat="false" ht="19.5" hidden="false" customHeight="true" outlineLevel="0" collapsed="false">
      <c r="A18" s="15" t="n">
        <v>14</v>
      </c>
      <c r="B18" s="15" t="s">
        <v>313</v>
      </c>
      <c r="C18" s="15" t="s">
        <v>300</v>
      </c>
      <c r="D18" s="15" t="s">
        <v>314</v>
      </c>
      <c r="E18" s="15" t="s">
        <v>314</v>
      </c>
      <c r="F18" s="15" t="s">
        <v>314</v>
      </c>
      <c r="G18" s="14" t="n">
        <v>1</v>
      </c>
      <c r="H18" s="14" t="n">
        <v>1</v>
      </c>
      <c r="I18" s="15" t="n">
        <v>3.3</v>
      </c>
      <c r="J18" s="15" t="n">
        <v>1.7</v>
      </c>
      <c r="K18" s="15" t="n">
        <v>1</v>
      </c>
      <c r="L18" s="15" t="n">
        <v>1</v>
      </c>
    </row>
    <row r="19" customFormat="false" ht="19.5" hidden="false" customHeight="true" outlineLevel="0" collapsed="false">
      <c r="A19" s="13" t="n">
        <v>15</v>
      </c>
      <c r="B19" s="13" t="s">
        <v>315</v>
      </c>
      <c r="C19" s="13" t="s">
        <v>316</v>
      </c>
      <c r="D19" s="13" t="s">
        <v>317</v>
      </c>
      <c r="E19" s="13" t="s">
        <v>317</v>
      </c>
      <c r="F19" s="13" t="s">
        <v>317</v>
      </c>
      <c r="G19" s="14" t="n">
        <v>1</v>
      </c>
      <c r="H19" s="14" t="n">
        <v>1</v>
      </c>
      <c r="I19" s="13" t="n">
        <v>3.4</v>
      </c>
      <c r="J19" s="13" t="n">
        <v>1.8</v>
      </c>
      <c r="K19" s="13" t="n">
        <v>1</v>
      </c>
      <c r="L19" s="13" t="n">
        <v>1</v>
      </c>
    </row>
    <row r="20" customFormat="false" ht="19.5" hidden="false" customHeight="true" outlineLevel="0" collapsed="false">
      <c r="A20" s="15" t="n">
        <v>16</v>
      </c>
      <c r="B20" s="15" t="s">
        <v>318</v>
      </c>
      <c r="C20" s="15" t="s">
        <v>316</v>
      </c>
      <c r="D20" s="15" t="s">
        <v>319</v>
      </c>
      <c r="E20" s="15" t="s">
        <v>320</v>
      </c>
      <c r="F20" s="15" t="s">
        <v>319</v>
      </c>
      <c r="G20" s="14" t="n">
        <v>1</v>
      </c>
      <c r="H20" s="14" t="n">
        <v>1</v>
      </c>
      <c r="I20" s="15" t="n">
        <v>3.5</v>
      </c>
      <c r="J20" s="15" t="n">
        <v>1.9</v>
      </c>
      <c r="K20" s="15" t="n">
        <v>1</v>
      </c>
      <c r="L20" s="15" t="n">
        <v>1</v>
      </c>
    </row>
    <row r="21" customFormat="false" ht="19.5" hidden="false" customHeight="true" outlineLevel="0" collapsed="false">
      <c r="A21" s="13" t="n">
        <v>17</v>
      </c>
      <c r="B21" s="13" t="s">
        <v>321</v>
      </c>
      <c r="C21" s="13" t="s">
        <v>316</v>
      </c>
      <c r="D21" s="13" t="s">
        <v>322</v>
      </c>
      <c r="E21" s="13" t="s">
        <v>322</v>
      </c>
      <c r="F21" s="13" t="s">
        <v>322</v>
      </c>
      <c r="G21" s="14" t="n">
        <v>1</v>
      </c>
      <c r="H21" s="14" t="n">
        <v>1</v>
      </c>
      <c r="I21" s="13" t="n">
        <v>3.2</v>
      </c>
      <c r="J21" s="13" t="n">
        <v>1.6</v>
      </c>
      <c r="K21" s="13" t="n">
        <v>1</v>
      </c>
      <c r="L21" s="13" t="n">
        <v>1</v>
      </c>
    </row>
    <row r="22" customFormat="false" ht="19.5" hidden="false" customHeight="true" outlineLevel="0" collapsed="false">
      <c r="A22" s="15" t="n">
        <v>18</v>
      </c>
      <c r="B22" s="15" t="s">
        <v>323</v>
      </c>
      <c r="C22" s="15" t="s">
        <v>316</v>
      </c>
      <c r="D22" s="15" t="s">
        <v>324</v>
      </c>
      <c r="E22" s="15" t="s">
        <v>324</v>
      </c>
      <c r="F22" s="15" t="s">
        <v>324</v>
      </c>
      <c r="G22" s="14" t="n">
        <v>1</v>
      </c>
      <c r="H22" s="14" t="n">
        <v>1</v>
      </c>
      <c r="I22" s="15" t="n">
        <v>3.3</v>
      </c>
      <c r="J22" s="15" t="n">
        <v>1.7</v>
      </c>
      <c r="K22" s="15" t="n">
        <v>1</v>
      </c>
      <c r="L22" s="15" t="n">
        <v>1</v>
      </c>
    </row>
    <row r="23" customFormat="false" ht="19.5" hidden="false" customHeight="true" outlineLevel="0" collapsed="false">
      <c r="A23" s="13" t="n">
        <v>19</v>
      </c>
      <c r="B23" s="13" t="s">
        <v>325</v>
      </c>
      <c r="C23" s="13" t="s">
        <v>316</v>
      </c>
      <c r="D23" s="13" t="s">
        <v>326</v>
      </c>
      <c r="E23" s="13" t="s">
        <v>326</v>
      </c>
      <c r="F23" s="13" t="s">
        <v>326</v>
      </c>
      <c r="G23" s="14" t="n">
        <v>1</v>
      </c>
      <c r="H23" s="14" t="n">
        <v>1</v>
      </c>
      <c r="I23" s="13" t="n">
        <v>3.4</v>
      </c>
      <c r="J23" s="13" t="n">
        <v>1.8</v>
      </c>
      <c r="K23" s="13" t="n">
        <v>1</v>
      </c>
      <c r="L23" s="13" t="n">
        <v>1</v>
      </c>
    </row>
    <row r="24" customFormat="false" ht="19.5" hidden="false" customHeight="true" outlineLevel="0" collapsed="false">
      <c r="A24" s="15" t="n">
        <v>20</v>
      </c>
      <c r="B24" s="15" t="s">
        <v>327</v>
      </c>
      <c r="C24" s="15" t="s">
        <v>316</v>
      </c>
      <c r="D24" s="15" t="s">
        <v>328</v>
      </c>
      <c r="E24" s="15" t="s">
        <v>329</v>
      </c>
      <c r="F24" s="15" t="s">
        <v>328</v>
      </c>
      <c r="G24" s="14" t="n">
        <v>1</v>
      </c>
      <c r="H24" s="14" t="n">
        <v>1</v>
      </c>
      <c r="I24" s="15" t="n">
        <v>3.5</v>
      </c>
      <c r="J24" s="15" t="n">
        <v>1.9</v>
      </c>
      <c r="K24" s="15" t="n">
        <v>1</v>
      </c>
      <c r="L24" s="15" t="n">
        <v>1</v>
      </c>
    </row>
    <row r="25" customFormat="false" ht="19.5" hidden="false" customHeight="true" outlineLevel="0" collapsed="false">
      <c r="A25" s="17" t="s">
        <v>330</v>
      </c>
      <c r="B25" s="17"/>
      <c r="C25" s="17"/>
      <c r="D25" s="17"/>
      <c r="E25" s="17"/>
      <c r="F25" s="17"/>
      <c r="G25" s="18" t="n">
        <f aca="false">SUM(G5:G24)/COUNT(G5:G24)</f>
        <v>0.9</v>
      </c>
      <c r="H25" s="18" t="n">
        <f aca="false">SUM(H5:H24)/COUNT(H5:H24)</f>
        <v>1</v>
      </c>
      <c r="I25" s="19" t="n">
        <f aca="false">AVERAGE(I5:I24)</f>
        <v>3.43</v>
      </c>
      <c r="J25" s="19" t="n">
        <f aca="false">AVERAGE(J5:J24)</f>
        <v>1.78</v>
      </c>
      <c r="K25" s="18" t="n">
        <f aca="false">SUM(K5:K24)/COUNT(K5:K24)</f>
        <v>0.9</v>
      </c>
      <c r="L25" s="18" t="n">
        <f aca="false">SUM(L5:L24)/COUNT(L5:L24)</f>
        <v>1</v>
      </c>
    </row>
    <row r="26" customFormat="false" ht="24" hidden="false" customHeight="true" outlineLevel="0" collapsed="false">
      <c r="A26" s="20"/>
      <c r="B26" s="20"/>
      <c r="C26" s="20"/>
      <c r="D26" s="20"/>
      <c r="E26" s="20"/>
      <c r="F26" s="20"/>
      <c r="G26" s="21" t="s">
        <v>331</v>
      </c>
      <c r="H26" s="21" t="s">
        <v>332</v>
      </c>
      <c r="I26" s="21" t="s">
        <v>333</v>
      </c>
      <c r="J26" s="21" t="s">
        <v>334</v>
      </c>
      <c r="K26" s="21" t="s">
        <v>335</v>
      </c>
      <c r="L26" s="21" t="s">
        <v>336</v>
      </c>
    </row>
  </sheetData>
  <mergeCells count="5">
    <mergeCell ref="A1:N1"/>
    <mergeCell ref="A2:N2"/>
    <mergeCell ref="A3:N3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2026-03-18T13:56:02Z</dcterms:created>
  <dc:creator>openpyxl</dc:creator>
  <dc:description/>
  <dc:language>en-US</dc:language>
  <cp:lastModifiedBy/>
  <dcterms:modified xsi:type="dcterms:W3CDTF">2026-03-18T14:58:12Z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